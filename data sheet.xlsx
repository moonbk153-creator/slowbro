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el.moon\Desktop\색도관리 프로그램\"/>
    </mc:Choice>
  </mc:AlternateContent>
  <bookViews>
    <workbookView xWindow="0" yWindow="0" windowWidth="28800" windowHeight="11724"/>
  </bookViews>
  <sheets>
    <sheet name="Data Sheet" sheetId="1" r:id="rId1"/>
  </sheets>
  <definedNames>
    <definedName name="_xlnm._FilterDatabase" localSheetId="0" hidden="1">'Data Sheet'!$B$2:$F$107</definedName>
    <definedName name="_xlnm.Print_Area" localSheetId="0">'Data Sheet'!$B$2:$F$107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1" i="1" l="1"/>
  <c r="D100" i="1"/>
  <c r="M5" i="1" s="1"/>
  <c r="M8" i="1"/>
  <c r="M4" i="1"/>
  <c r="M3" i="1" l="1"/>
  <c r="M6" i="1"/>
  <c r="M7" i="1"/>
  <c r="M2" i="1"/>
  <c r="M9" i="1"/>
  <c r="M10" i="1" l="1"/>
</calcChain>
</file>

<file path=xl/sharedStrings.xml><?xml version="1.0" encoding="utf-8"?>
<sst xmlns="http://schemas.openxmlformats.org/spreadsheetml/2006/main" count="162" uniqueCount="154">
  <si>
    <t>넘버링 = 같은제품 (같은 배합비 같은 색도값의 이름만 다른제품)</t>
    <phoneticPr fontId="4" type="noConversion"/>
  </si>
  <si>
    <t>색도값</t>
    <phoneticPr fontId="4" type="noConversion"/>
  </si>
  <si>
    <t>분류명</t>
    <phoneticPr fontId="4" type="noConversion"/>
  </si>
  <si>
    <t>제품 수</t>
    <phoneticPr fontId="4" type="noConversion"/>
  </si>
  <si>
    <t>#</t>
    <phoneticPr fontId="4" type="noConversion"/>
  </si>
  <si>
    <t>제품명</t>
    <phoneticPr fontId="4" type="noConversion"/>
  </si>
  <si>
    <t>분쇄색도</t>
    <phoneticPr fontId="4" type="noConversion"/>
  </si>
  <si>
    <t>변경 내역</t>
    <phoneticPr fontId="4" type="noConversion"/>
  </si>
  <si>
    <t>100~90</t>
    <phoneticPr fontId="4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</si>
  <si>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IGHT</t>
    </r>
    <phoneticPr fontId="4" type="noConversion"/>
  </si>
  <si>
    <t>PNG (아모르)</t>
  </si>
  <si>
    <t>레귤러 핏 (지브라 시그니처, 완벽한 원두)</t>
    <phoneticPr fontId="4" type="noConversion"/>
  </si>
  <si>
    <t>89~80</t>
    <phoneticPr fontId="4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</si>
  <si>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innamon</t>
    </r>
    <phoneticPr fontId="4" type="noConversion"/>
  </si>
  <si>
    <t>PNG 블루마운틴</t>
  </si>
  <si>
    <t>블랙그라운드 (우간다 골드 블렌드)</t>
    <phoneticPr fontId="4" type="noConversion"/>
  </si>
  <si>
    <t>79~70</t>
    <phoneticPr fontId="4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</si>
  <si>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edium</t>
    </r>
    <phoneticPr fontId="4" type="noConversion"/>
  </si>
  <si>
    <t>PNG 블루마운틴 (롯데마트)</t>
    <phoneticPr fontId="4" type="noConversion"/>
  </si>
  <si>
    <t>에스프레소 라틴 (카페 네로)</t>
    <phoneticPr fontId="4" type="noConversion"/>
  </si>
  <si>
    <t>69~60</t>
    <phoneticPr fontId="4" type="noConversion"/>
  </si>
  <si>
    <r>
      <t>H</t>
    </r>
    <r>
      <rPr>
        <sz val="11"/>
        <color theme="1"/>
        <rFont val="맑은 고딕"/>
        <family val="2"/>
        <charset val="129"/>
        <scheme val="minor"/>
      </rPr>
      <t>igh</t>
    </r>
    <phoneticPr fontId="4" type="noConversion"/>
  </si>
  <si>
    <t>PNG 블루마운틴 (마이그랑 포션)</t>
    <phoneticPr fontId="4" type="noConversion"/>
  </si>
  <si>
    <t>모데라토 블렌드 (마에스트로)</t>
    <phoneticPr fontId="4" type="noConversion"/>
  </si>
  <si>
    <t>59~50</t>
    <phoneticPr fontId="4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</si>
  <si>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ity</t>
    </r>
    <phoneticPr fontId="4" type="noConversion"/>
  </si>
  <si>
    <t>PNG 블루마운틴 (미산 마운틴블루)</t>
    <phoneticPr fontId="4" type="noConversion"/>
  </si>
  <si>
    <t>지브라 블렌드 (대단한커피&amp;꽈페)</t>
    <phoneticPr fontId="4" type="noConversion"/>
  </si>
  <si>
    <t>49~40</t>
    <phoneticPr fontId="4" type="noConversion"/>
  </si>
  <si>
    <r>
      <t>F</t>
    </r>
    <r>
      <rPr>
        <sz val="11"/>
        <color theme="1"/>
        <rFont val="맑은 고딕"/>
        <family val="2"/>
        <charset val="129"/>
        <scheme val="minor"/>
      </rPr>
      <t>ull City</t>
    </r>
    <phoneticPr fontId="4" type="noConversion"/>
  </si>
  <si>
    <t>PNG 올가닉</t>
    <phoneticPr fontId="4" type="noConversion"/>
  </si>
  <si>
    <t>39~30</t>
    <phoneticPr fontId="4" type="noConversion"/>
  </si>
  <si>
    <r>
      <t>F</t>
    </r>
    <r>
      <rPr>
        <sz val="11"/>
        <color theme="1"/>
        <rFont val="맑은 고딕"/>
        <family val="2"/>
        <charset val="129"/>
        <scheme val="minor"/>
      </rPr>
      <t>rench</t>
    </r>
    <phoneticPr fontId="4" type="noConversion"/>
  </si>
  <si>
    <t>PNG 올가닉 (드립백)</t>
  </si>
  <si>
    <t>29~0</t>
    <phoneticPr fontId="4" type="noConversion"/>
  </si>
  <si>
    <r>
      <t>I</t>
    </r>
    <r>
      <rPr>
        <sz val="11"/>
        <color theme="0"/>
        <rFont val="맑은 고딕"/>
        <family val="3"/>
        <charset val="129"/>
        <scheme val="minor"/>
      </rPr>
      <t>talian</t>
    </r>
    <phoneticPr fontId="4" type="noConversion"/>
  </si>
  <si>
    <t>PNG 올가닉 (쿠쿠)</t>
    <phoneticPr fontId="4" type="noConversion"/>
  </si>
  <si>
    <t>합계</t>
    <phoneticPr fontId="4" type="noConversion"/>
  </si>
  <si>
    <t>곰곰 뮤즈 블렌드 (드립백)</t>
    <phoneticPr fontId="4" type="noConversion"/>
  </si>
  <si>
    <t>곰곰 에스프레소용 다크블렌드</t>
    <phoneticPr fontId="4" type="noConversion"/>
  </si>
  <si>
    <t>곰곰 예가체프 드립백</t>
    <phoneticPr fontId="4" type="noConversion"/>
  </si>
  <si>
    <t>과테말라 SHB</t>
    <phoneticPr fontId="4" type="noConversion"/>
  </si>
  <si>
    <t>과테말라 SHB (드립백)</t>
    <phoneticPr fontId="4" type="noConversion"/>
  </si>
  <si>
    <t>과테말라 디카페인</t>
    <phoneticPr fontId="4" type="noConversion"/>
  </si>
  <si>
    <t>그랑서울 골드 블렌드</t>
    <phoneticPr fontId="4" type="noConversion"/>
  </si>
  <si>
    <t>내츄럴 블렌드</t>
    <phoneticPr fontId="4" type="noConversion"/>
  </si>
  <si>
    <t>누리달</t>
    <phoneticPr fontId="4" type="noConversion"/>
  </si>
  <si>
    <t>달콤구수 블렌드 (드립백)</t>
    <phoneticPr fontId="4" type="noConversion"/>
  </si>
  <si>
    <t>데일리 블렌드</t>
    <phoneticPr fontId="4" type="noConversion"/>
  </si>
  <si>
    <t>딥 블랙 블렌드</t>
    <phoneticPr fontId="4" type="noConversion"/>
  </si>
  <si>
    <t>르시랑스 스페셜</t>
    <phoneticPr fontId="4" type="noConversion"/>
  </si>
  <si>
    <t>르완다</t>
    <phoneticPr fontId="4" type="noConversion"/>
  </si>
  <si>
    <t>마에스트로</t>
    <phoneticPr fontId="4" type="noConversion"/>
  </si>
  <si>
    <t>2025.10.29 기준변경 50 &gt; 52</t>
    <phoneticPr fontId="4" type="noConversion"/>
  </si>
  <si>
    <t>마이그랑 클래식</t>
    <phoneticPr fontId="4" type="noConversion"/>
  </si>
  <si>
    <t>메가커피</t>
    <phoneticPr fontId="4" type="noConversion"/>
  </si>
  <si>
    <t>25.08.14 양산 39 &gt; 25.09.01 변경 42 &gt; 25.09.05 변경 43  &gt; 25.09.10 변경 41 &gt; 26.01.07 변경 40 &gt; 26.01.19 변경 39 &gt;26.04.06 변경 37 &gt; 26.04.24 변경 39&gt; 26.04.30 변경 40</t>
    <phoneticPr fontId="4" type="noConversion"/>
  </si>
  <si>
    <t>멕시코</t>
    <phoneticPr fontId="4" type="noConversion"/>
  </si>
  <si>
    <t>멕시코 블렌드</t>
    <phoneticPr fontId="4" type="noConversion"/>
  </si>
  <si>
    <t>모데라토 블렌드</t>
    <phoneticPr fontId="4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</si>
  <si>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025.10.29 기준변경 50 &gt; 52</t>
    </r>
    <phoneticPr fontId="4" type="noConversion"/>
  </si>
  <si>
    <t>베트남 로부스타</t>
    <phoneticPr fontId="4" type="noConversion"/>
  </si>
  <si>
    <t>베트남 로부스타 (아모르)</t>
  </si>
  <si>
    <t>브라운스타 (위펀)</t>
    <phoneticPr fontId="4" type="noConversion"/>
  </si>
  <si>
    <t>브라질 (드립백)</t>
    <phoneticPr fontId="4" type="noConversion"/>
  </si>
  <si>
    <t>브라질 (롯데마트)</t>
    <phoneticPr fontId="4" type="noConversion"/>
  </si>
  <si>
    <t>브라질 (아모르)</t>
    <phoneticPr fontId="4" type="noConversion"/>
  </si>
  <si>
    <t>브라질 세하도</t>
    <phoneticPr fontId="4" type="noConversion"/>
  </si>
  <si>
    <t>브라질 옐로우버번</t>
    <phoneticPr fontId="4" type="noConversion"/>
  </si>
  <si>
    <t>블라썸 (드립백)</t>
    <phoneticPr fontId="4" type="noConversion"/>
  </si>
  <si>
    <t>25.04.11 기준변경 50&gt;48</t>
    <phoneticPr fontId="4" type="noConversion"/>
  </si>
  <si>
    <t>블루마운틴 스페셜</t>
    <phoneticPr fontId="4" type="noConversion"/>
  </si>
  <si>
    <t>블루마운틴 스페셜 블렌딩 마운틴 (쿠쿠)</t>
    <phoneticPr fontId="4" type="noConversion"/>
  </si>
  <si>
    <t>비엔토 블랜드 피</t>
    <phoneticPr fontId="4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</si>
  <si>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5.06.17 기준변경 47&gt;49</t>
    </r>
    <phoneticPr fontId="4" type="noConversion"/>
  </si>
  <si>
    <t>센소 블렌드</t>
    <phoneticPr fontId="4" type="noConversion"/>
  </si>
  <si>
    <t>스틸블렌드</t>
    <phoneticPr fontId="4" type="noConversion"/>
  </si>
  <si>
    <t>시다모 (아모르)</t>
    <phoneticPr fontId="4" type="noConversion"/>
  </si>
  <si>
    <t>시다모 G2</t>
    <phoneticPr fontId="4" type="noConversion"/>
  </si>
  <si>
    <t>시다모 G4</t>
    <phoneticPr fontId="15" type="noConversion"/>
  </si>
  <si>
    <t>아로마노트</t>
    <phoneticPr fontId="4" type="noConversion"/>
  </si>
  <si>
    <t>에스프레소 라틴</t>
    <phoneticPr fontId="4" type="noConversion"/>
  </si>
  <si>
    <t>24.12.06 기준변경</t>
    <phoneticPr fontId="4" type="noConversion"/>
  </si>
  <si>
    <t>에스프레소 르시랑스</t>
    <phoneticPr fontId="4" type="noConversion"/>
  </si>
  <si>
    <t>에스프레소 마일드</t>
    <phoneticPr fontId="4" type="noConversion"/>
  </si>
  <si>
    <t>에스프레소 머츄어</t>
    <phoneticPr fontId="4" type="noConversion"/>
  </si>
  <si>
    <t>에스프레소 블라썸</t>
    <phoneticPr fontId="4" type="noConversion"/>
  </si>
  <si>
    <t>에스프레소 블랙라벨</t>
    <phoneticPr fontId="4" type="noConversion"/>
  </si>
  <si>
    <t>에스프레소 스탠다드</t>
    <phoneticPr fontId="4" type="noConversion"/>
  </si>
  <si>
    <t>에스프레소 시그니처</t>
    <phoneticPr fontId="4" type="noConversion"/>
  </si>
  <si>
    <t>에스프레소 클래식</t>
    <phoneticPr fontId="4" type="noConversion"/>
  </si>
  <si>
    <t>에티오피아 디카페인</t>
    <phoneticPr fontId="4" type="noConversion"/>
  </si>
  <si>
    <t>에티오피아 스페셜 블렌딩 조이풀 (쿠쿠)</t>
    <phoneticPr fontId="4" type="noConversion"/>
  </si>
  <si>
    <t>에티오피아 아리차</t>
    <phoneticPr fontId="4" type="noConversion"/>
  </si>
  <si>
    <t>에티오피아 아바야 게이샤</t>
    <phoneticPr fontId="4" type="noConversion"/>
  </si>
  <si>
    <r>
      <t>25.04</t>
    </r>
    <r>
      <rPr>
        <sz val="11"/>
        <color theme="1"/>
        <rFont val="맑은 고딕"/>
        <family val="2"/>
        <charset val="129"/>
        <scheme val="minor"/>
      </rPr>
      <t>.</t>
    </r>
    <r>
      <rPr>
        <sz val="11"/>
        <color theme="1"/>
        <rFont val="맑은 고딕"/>
        <family val="2"/>
        <charset val="129"/>
        <scheme val="minor"/>
      </rPr>
      <t>24</t>
    </r>
    <r>
      <rPr>
        <sz val="11"/>
        <color theme="1"/>
        <rFont val="맑은 고딕"/>
        <family val="2"/>
        <charset val="129"/>
        <scheme val="minor"/>
      </rPr>
      <t xml:space="preserve"> 드립백 제품과 기준 통일 (71 &gt; 75)</t>
    </r>
    <phoneticPr fontId="4" type="noConversion"/>
  </si>
  <si>
    <t>에티오피아 아바야 게이샤 (드립백)</t>
    <phoneticPr fontId="4" type="noConversion"/>
  </si>
  <si>
    <t>에티오피아 야웨 에이미 워시드</t>
    <phoneticPr fontId="4" type="noConversion"/>
  </si>
  <si>
    <t>에티오피아 예가체프</t>
    <phoneticPr fontId="4" type="noConversion"/>
  </si>
  <si>
    <t>에티오피아 예가체프 (드립백)</t>
    <phoneticPr fontId="4" type="noConversion"/>
  </si>
  <si>
    <t>에티오피아 예가체프 (아모르)</t>
    <phoneticPr fontId="4" type="noConversion"/>
  </si>
  <si>
    <t>에티오피아 첼바</t>
    <phoneticPr fontId="4" type="noConversion"/>
  </si>
  <si>
    <t>에티오피아 코케허니</t>
    <phoneticPr fontId="4" type="noConversion"/>
  </si>
  <si>
    <t>에티오피아 코케허니 (드립백)</t>
    <phoneticPr fontId="4" type="noConversion"/>
  </si>
  <si>
    <t>온두라스 SHG</t>
    <phoneticPr fontId="4" type="noConversion"/>
  </si>
  <si>
    <t>우간다 두루가</t>
    <phoneticPr fontId="4" type="noConversion"/>
  </si>
  <si>
    <t>24.12.20 기준변경 50&gt;&gt;63, 생두배합비 변경</t>
    <phoneticPr fontId="4" type="noConversion"/>
  </si>
  <si>
    <t>우간다 두루가 (드립백)</t>
    <phoneticPr fontId="4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</si>
  <si>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5.05.20 기준변경 63&gt;&gt;48, 생두배합비 변경(블랙그라운드와 동일하게)</t>
    </r>
    <phoneticPr fontId="4" type="noConversion"/>
  </si>
  <si>
    <t>우간다 두루가 (아모르)</t>
    <phoneticPr fontId="4" type="noConversion"/>
  </si>
  <si>
    <t>우간다 로부스타</t>
    <phoneticPr fontId="15" type="noConversion"/>
  </si>
  <si>
    <t>우간다 로부스타 (아모르)</t>
    <phoneticPr fontId="4" type="noConversion"/>
  </si>
  <si>
    <t>우지커피</t>
    <phoneticPr fontId="4" type="noConversion"/>
  </si>
  <si>
    <t>인도네시아 만델링</t>
    <phoneticPr fontId="4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</si>
  <si>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5.05.26 기준변경 52&gt;54 드립백과 색도기준 통일</t>
    </r>
    <phoneticPr fontId="4" type="noConversion"/>
  </si>
  <si>
    <t>인도네시아 만델링 (드립백)</t>
    <phoneticPr fontId="4" type="noConversion"/>
  </si>
  <si>
    <t>카카오 블렌드</t>
    <phoneticPr fontId="4" type="noConversion"/>
  </si>
  <si>
    <t>케냐 (롯데마트)</t>
    <phoneticPr fontId="4" type="noConversion"/>
  </si>
  <si>
    <t>케냐 AA</t>
    <phoneticPr fontId="4" type="noConversion"/>
  </si>
  <si>
    <t>케냐 AA (드립백)</t>
    <phoneticPr fontId="4" type="noConversion"/>
  </si>
  <si>
    <t>케냐 AB</t>
    <phoneticPr fontId="4" type="noConversion"/>
  </si>
  <si>
    <t>코너 시그니처 디카페인 블렌드</t>
    <phoneticPr fontId="4" type="noConversion"/>
  </si>
  <si>
    <t>코너 시그니처 블렌드</t>
    <phoneticPr fontId="4" type="noConversion"/>
  </si>
  <si>
    <t>25.01.08 기준변경 57&gt;&gt;56 / 25.01.23 기준변경 56&gt;&gt;54</t>
    <phoneticPr fontId="4" type="noConversion"/>
  </si>
  <si>
    <t>콜롬비아 디카페인</t>
    <phoneticPr fontId="4" type="noConversion"/>
  </si>
  <si>
    <t>콜롬비아 디카페인 (드립백)</t>
    <phoneticPr fontId="4" type="noConversion"/>
  </si>
  <si>
    <t>콜롬비아 디카페인 (메디프레소)</t>
    <phoneticPr fontId="4" type="noConversion"/>
  </si>
  <si>
    <t>콜롬비아 디카페인 (쿠쿠)</t>
    <phoneticPr fontId="4" type="noConversion"/>
  </si>
  <si>
    <t>콜롬비아 디카페인 (프리젠트)</t>
  </si>
  <si>
    <t>콜롬비아 수프리모</t>
    <phoneticPr fontId="4" type="noConversion"/>
  </si>
  <si>
    <t>콜롬비아 수프리모 (드립백)</t>
    <phoneticPr fontId="4" type="noConversion"/>
  </si>
  <si>
    <t>콜롬비아 수프리모 (롯데마트)</t>
    <phoneticPr fontId="4" type="noConversion"/>
  </si>
  <si>
    <t>콜롬비아 수프리모 (아모르)</t>
    <phoneticPr fontId="15" type="noConversion"/>
  </si>
  <si>
    <t>탄자니아</t>
    <phoneticPr fontId="4" type="noConversion"/>
  </si>
  <si>
    <t>탄자니아 (아모르)</t>
    <phoneticPr fontId="4" type="noConversion"/>
  </si>
  <si>
    <t>토지 꽃</t>
    <phoneticPr fontId="4" type="noConversion"/>
  </si>
  <si>
    <t>토지 숲</t>
    <phoneticPr fontId="4" type="noConversion"/>
  </si>
  <si>
    <t>에스프레소 시그니쳐</t>
    <phoneticPr fontId="4" type="noConversion"/>
  </si>
  <si>
    <t>페루 뚱키</t>
    <phoneticPr fontId="4" type="noConversion"/>
  </si>
  <si>
    <t>페루 찬차마요</t>
    <phoneticPr fontId="4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</si>
  <si>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5.09.29 기준변경 54&gt;59</t>
    </r>
    <phoneticPr fontId="4" type="noConversion"/>
  </si>
  <si>
    <t>플라워 블렌드</t>
    <phoneticPr fontId="4" type="noConversion"/>
  </si>
  <si>
    <t>하우스 블렌드 (홍콩다방 블렌드)</t>
    <phoneticPr fontId="4" type="noConversion"/>
  </si>
  <si>
    <t>할리스커피</t>
    <phoneticPr fontId="4" type="noConversion"/>
  </si>
  <si>
    <t>후성 디카페인</t>
    <phoneticPr fontId="4" type="noConversion"/>
  </si>
  <si>
    <t>후성 모던</t>
    <phoneticPr fontId="4" type="noConversion"/>
  </si>
  <si>
    <t>후성 클래식</t>
    <phoneticPr fontId="4" type="noConversion"/>
  </si>
  <si>
    <t>마이그랑 에스프레소 칸</t>
    <phoneticPr fontId="4" type="noConversion"/>
  </si>
  <si>
    <t>26.05.14 기준변경 48 &gt; 50</t>
    <phoneticPr fontId="4" type="noConversion"/>
  </si>
  <si>
    <t>공지사항</t>
    <phoneticPr fontId="4" type="noConversion"/>
  </si>
  <si>
    <t>홀빈 측정용 샘플, 성적서 작성 필수</t>
  </si>
  <si>
    <t>홀빈 측정용 샘플, 성적서 작성 필수</t>
    <phoneticPr fontId="4" type="noConversion"/>
  </si>
  <si>
    <t>발송용 샘플 확보 필수 (LOT별 420g)</t>
    <phoneticPr fontId="4" type="noConversion"/>
  </si>
  <si>
    <t>발송용 샘플 확보 필수 (LOT별 3kg)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</si>
</sst>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9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9"/>
      <name val="맑은 고딕"/>
      <family val="3"/>
      <charset val="129"/>
      <scheme val="minor"/>
    </font>
    <font>
      <b/>
      <sz val="14"/>
      <color theme="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4"/>
      <color theme="1"/>
      <name val="Malgun Gothic"/>
      <family val="3"/>
      <charset val="129"/>
    </font>
    <font>
      <b/>
      <sz val="14"/>
      <color theme="9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theme="9"/>
      <name val="맑은 고딕"/>
      <family val="2"/>
      <charset val="129"/>
      <scheme val="minor"/>
    </font>
    <font>
      <u/>
      <sz val="14"/>
      <color theme="1"/>
      <name val="맑은 고딕"/>
      <family val="2"/>
      <charset val="129"/>
      <scheme val="minor"/>
    </font>
    <font>
      <u/>
      <sz val="14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2" fillId="0" borderId="0"/>
  </cellStyleXfs>
  <cellXfs count="44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0" fillId="3" borderId="2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center" vertical="center"/>
    </xf>
    <xf numFmtId="0" fontId="1" fillId="2" borderId="4" xfId="1" applyFill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10" fillId="4" borderId="2" xfId="1" applyFont="1" applyFill="1" applyBorder="1" applyAlignment="1">
      <alignment horizontal="center" vertical="center"/>
    </xf>
    <xf numFmtId="0" fontId="0" fillId="5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left" vertical="center"/>
    </xf>
    <xf numFmtId="0" fontId="0" fillId="6" borderId="2" xfId="1" applyFont="1" applyFill="1" applyBorder="1" applyAlignment="1">
      <alignment horizontal="center" vertical="center"/>
    </xf>
    <xf numFmtId="0" fontId="0" fillId="4" borderId="2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8" borderId="2" xfId="1" applyFont="1" applyFill="1" applyBorder="1" applyAlignment="1">
      <alignment horizontal="center" vertical="center"/>
    </xf>
    <xf numFmtId="0" fontId="1" fillId="9" borderId="0" xfId="1" applyFill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0" fillId="10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horizontal="center" vertical="center"/>
    </xf>
    <xf numFmtId="0" fontId="13" fillId="2" borderId="2" xfId="2" applyFont="1" applyFill="1" applyBorder="1" applyAlignment="1">
      <alignment horizontal="left" vertical="center" wrapText="1"/>
    </xf>
    <xf numFmtId="0" fontId="14" fillId="2" borderId="2" xfId="2" applyFont="1" applyFill="1" applyBorder="1" applyAlignment="1">
      <alignment horizontal="center" vertical="center" wrapText="1"/>
    </xf>
    <xf numFmtId="0" fontId="0" fillId="2" borderId="2" xfId="1" applyFont="1" applyFill="1" applyBorder="1" applyAlignment="1">
      <alignment horizontal="left" vertical="center"/>
    </xf>
    <xf numFmtId="0" fontId="2" fillId="9" borderId="0" xfId="1" applyFont="1" applyFill="1" applyAlignment="1">
      <alignment horizontal="center" vertical="center"/>
    </xf>
    <xf numFmtId="0" fontId="16" fillId="9" borderId="0" xfId="1" applyFont="1" applyFill="1" applyAlignment="1">
      <alignment horizontal="center" vertical="center"/>
    </xf>
    <xf numFmtId="0" fontId="17" fillId="2" borderId="2" xfId="1" applyFont="1" applyFill="1" applyBorder="1" applyAlignment="1">
      <alignment horizontal="left" vertical="center"/>
    </xf>
    <xf numFmtId="0" fontId="18" fillId="2" borderId="2" xfId="1" applyFont="1" applyFill="1" applyBorder="1" applyAlignment="1">
      <alignment horizontal="left" vertical="center"/>
    </xf>
    <xf numFmtId="0" fontId="1" fillId="2" borderId="2" xfId="1" applyFill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</cellXfs>
  <cellStyles count="3">
    <cellStyle name="표준" xfId="0" builtinId="0"/>
    <cellStyle name="표준 2" xfId="1"/>
    <cellStyle name="표준 3" xfId="2"/>
  </cellStyles>
  <dxfs count="11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ont>
        <color theme="0"/>
      </font>
      <fill>
        <patternFill>
          <bgColor theme="1" tint="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9"/>
  <sheetViews>
    <sheetView tabSelected="1" topLeftCell="C1" zoomScale="70" zoomScaleNormal="70" workbookViewId="0">
      <selection activeCell="E20" sqref="E20"/>
    </sheetView>
  </sheetViews>
  <sheetFormatPr defaultColWidth="8.69921875" defaultRowHeight="21"/>
  <cols>
    <col min="1" max="1" width="4.5" style="1" customWidth="1"/>
    <col min="2" max="2" width="4.5" style="41" customWidth="1"/>
    <col min="3" max="3" width="47.5" style="23" bestFit="1" customWidth="1"/>
    <col min="4" max="4" width="14.69921875" style="12" bestFit="1" customWidth="1"/>
    <col min="5" max="5" width="41.69921875" style="12" bestFit="1" customWidth="1"/>
    <col min="6" max="6" width="148" style="25" bestFit="1" customWidth="1"/>
    <col min="7" max="7" width="4.5" style="1" customWidth="1"/>
    <col min="8" max="8" width="47.5" style="31" bestFit="1" customWidth="1"/>
    <col min="9" max="9" width="14.69921875" style="1" bestFit="1" customWidth="1"/>
    <col min="10" max="10" width="3.8984375" style="1" customWidth="1"/>
    <col min="11" max="11" width="8.69921875" style="1"/>
    <col min="12" max="12" width="10.3984375" style="1" bestFit="1" customWidth="1"/>
    <col min="13" max="13" width="8" style="1" bestFit="1" customWidth="1"/>
    <col min="14" max="14" width="3.8984375" style="1" customWidth="1"/>
    <col min="15" max="16384" width="8.69921875" style="1"/>
  </cols>
  <sheetData>
    <row r="1" spans="1:13" ht="21.6" thickBot="1">
      <c r="B1" s="1"/>
      <c r="C1" s="2"/>
      <c r="D1" s="3"/>
      <c r="E1" s="3"/>
      <c r="F1" s="4"/>
      <c r="H1" s="5" t="s">
        <v>0</v>
      </c>
      <c r="I1" s="6"/>
      <c r="K1" s="7" t="s">
        <v>1</v>
      </c>
      <c r="L1" s="7" t="s">
        <v>2</v>
      </c>
      <c r="M1" s="7" t="s">
        <v>3</v>
      </c>
    </row>
    <row r="2" spans="1:13" ht="21.6" thickBot="1">
      <c r="B2" s="8" t="s">
        <v>4</v>
      </c>
      <c r="C2" s="9" t="s">
        <v>5</v>
      </c>
      <c r="D2" s="10" t="s">
        <v>6</v>
      </c>
      <c r="E2" s="10" t="s">
        <v>149</v>
      </c>
      <c r="F2" s="8" t="s">
        <v>7</v>
      </c>
      <c r="H2" s="11" t="s">
        <v>5</v>
      </c>
      <c r="I2" s="12" t="s">
        <v>6</v>
      </c>
      <c r="K2" s="13" t="s">
        <v>8</v>
      </c>
      <c r="L2" s="14" t="s">
        <v>9</v>
      </c>
      <c r="M2" s="15" t="e">
        <f>COUNTIFS(#REF!, L2)</f>
        <v>#REF!</v>
      </c>
    </row>
    <row r="3" spans="1:13" ht="21" customHeight="1">
      <c r="B3" s="16">
        <v>1</v>
      </c>
      <c r="C3" s="17" t="s">
        <v>10</v>
      </c>
      <c r="D3" s="18">
        <v>46</v>
      </c>
      <c r="E3" s="18"/>
      <c r="F3" s="19"/>
      <c r="H3" s="20" t="s">
        <v>11</v>
      </c>
      <c r="I3" s="21">
        <v>50</v>
      </c>
      <c r="K3" s="13" t="s">
        <v>12</v>
      </c>
      <c r="L3" s="22" t="s">
        <v>13</v>
      </c>
      <c r="M3" s="15" t="e">
        <f>COUNTIFS(#REF!, L3)</f>
        <v>#REF!</v>
      </c>
    </row>
    <row r="4" spans="1:13" ht="21" customHeight="1">
      <c r="B4" s="16">
        <v>2</v>
      </c>
      <c r="C4" s="23" t="s">
        <v>14</v>
      </c>
      <c r="D4" s="24">
        <v>55</v>
      </c>
      <c r="E4" s="24"/>
      <c r="H4" s="20" t="s">
        <v>15</v>
      </c>
      <c r="I4" s="21">
        <v>48</v>
      </c>
      <c r="K4" s="13" t="s">
        <v>16</v>
      </c>
      <c r="L4" s="26" t="s">
        <v>17</v>
      </c>
      <c r="M4" s="15" t="e">
        <f>COUNTIFS(#REF!, L4)</f>
        <v>#REF!</v>
      </c>
    </row>
    <row r="5" spans="1:13" ht="21" customHeight="1">
      <c r="B5" s="16">
        <v>3</v>
      </c>
      <c r="C5" s="23" t="s">
        <v>18</v>
      </c>
      <c r="D5" s="24">
        <v>55</v>
      </c>
      <c r="E5" s="24"/>
      <c r="H5" s="20" t="s">
        <v>19</v>
      </c>
      <c r="I5" s="21">
        <v>48</v>
      </c>
      <c r="K5" s="13" t="s">
        <v>20</v>
      </c>
      <c r="L5" s="27" t="s">
        <v>21</v>
      </c>
      <c r="M5" s="15" t="e">
        <f>COUNTIFS(#REF!, L5)</f>
        <v>#REF!</v>
      </c>
    </row>
    <row r="6" spans="1:13" ht="21" customHeight="1">
      <c r="B6" s="16">
        <v>4</v>
      </c>
      <c r="C6" s="23" t="s">
        <v>22</v>
      </c>
      <c r="D6" s="24">
        <v>55</v>
      </c>
      <c r="E6" s="24"/>
      <c r="H6" s="20" t="s">
        <v>23</v>
      </c>
      <c r="I6" s="21">
        <v>50</v>
      </c>
      <c r="K6" s="13" t="s">
        <v>24</v>
      </c>
      <c r="L6" s="28" t="s">
        <v>25</v>
      </c>
      <c r="M6" s="15" t="e">
        <f>COUNTIFS(#REF!, L6)</f>
        <v>#REF!</v>
      </c>
    </row>
    <row r="7" spans="1:13" ht="21" customHeight="1">
      <c r="B7" s="16">
        <v>5</v>
      </c>
      <c r="C7" s="23" t="s">
        <v>26</v>
      </c>
      <c r="D7" s="24">
        <v>55</v>
      </c>
      <c r="E7" s="24"/>
      <c r="H7" s="20" t="s">
        <v>27</v>
      </c>
      <c r="I7" s="21">
        <v>51</v>
      </c>
      <c r="K7" s="13" t="s">
        <v>28</v>
      </c>
      <c r="L7" s="29" t="s">
        <v>29</v>
      </c>
      <c r="M7" s="15" t="e">
        <f>COUNTIFS(#REF!, L7)</f>
        <v>#REF!</v>
      </c>
    </row>
    <row r="8" spans="1:13" ht="21" customHeight="1">
      <c r="A8" s="30"/>
      <c r="B8" s="16">
        <v>6</v>
      </c>
      <c r="C8" s="23" t="s">
        <v>30</v>
      </c>
      <c r="D8" s="24">
        <v>53</v>
      </c>
      <c r="E8" s="24"/>
      <c r="K8" s="13" t="s">
        <v>31</v>
      </c>
      <c r="L8" s="32" t="s">
        <v>32</v>
      </c>
      <c r="M8" s="15" t="e">
        <f>COUNTIFS(#REF!, L8)</f>
        <v>#REF!</v>
      </c>
    </row>
    <row r="9" spans="1:13" ht="21" customHeight="1">
      <c r="B9" s="16">
        <v>7</v>
      </c>
      <c r="C9" s="23" t="s">
        <v>33</v>
      </c>
      <c r="D9" s="24">
        <v>61</v>
      </c>
      <c r="E9" s="24"/>
      <c r="K9" s="13" t="s">
        <v>34</v>
      </c>
      <c r="L9" s="33" t="s">
        <v>35</v>
      </c>
      <c r="M9" s="15" t="e">
        <f>COUNTIFS(#REF!, L9)</f>
        <v>#REF!</v>
      </c>
    </row>
    <row r="10" spans="1:13" ht="21" customHeight="1">
      <c r="A10" s="30"/>
      <c r="B10" s="16">
        <v>8</v>
      </c>
      <c r="C10" s="34" t="s">
        <v>36</v>
      </c>
      <c r="D10" s="35">
        <v>52</v>
      </c>
      <c r="E10" s="35" t="s">
        <v>151</v>
      </c>
      <c r="K10" s="42" t="s">
        <v>37</v>
      </c>
      <c r="L10" s="43"/>
      <c r="M10" s="15" t="e">
        <f>SUM(M2:M9)</f>
        <v>#REF!</v>
      </c>
    </row>
    <row r="11" spans="1:13" ht="21" customHeight="1">
      <c r="B11" s="16">
        <v>9</v>
      </c>
      <c r="C11" s="23" t="s">
        <v>38</v>
      </c>
      <c r="D11" s="24">
        <v>55</v>
      </c>
      <c r="E11" s="24"/>
    </row>
    <row r="12" spans="1:13" ht="21" customHeight="1">
      <c r="B12" s="16">
        <v>10</v>
      </c>
      <c r="C12" s="23" t="s">
        <v>39</v>
      </c>
      <c r="D12" s="24">
        <v>39</v>
      </c>
      <c r="E12" s="24"/>
    </row>
    <row r="13" spans="1:13" ht="21" customHeight="1">
      <c r="B13" s="16">
        <v>11</v>
      </c>
      <c r="C13" s="23" t="s">
        <v>40</v>
      </c>
      <c r="D13" s="12">
        <v>63</v>
      </c>
    </row>
    <row r="14" spans="1:13" ht="21" customHeight="1">
      <c r="B14" s="16">
        <v>12</v>
      </c>
      <c r="C14" s="23" t="s">
        <v>41</v>
      </c>
      <c r="D14" s="24">
        <v>59</v>
      </c>
      <c r="E14" s="24"/>
    </row>
    <row r="15" spans="1:13" ht="21" customHeight="1">
      <c r="B15" s="16">
        <v>13</v>
      </c>
      <c r="C15" s="23" t="s">
        <v>42</v>
      </c>
      <c r="D15" s="24">
        <v>59</v>
      </c>
      <c r="E15" s="24"/>
    </row>
    <row r="16" spans="1:13" ht="21" customHeight="1">
      <c r="B16" s="16">
        <v>14</v>
      </c>
      <c r="C16" s="23" t="s">
        <v>43</v>
      </c>
      <c r="D16" s="24">
        <v>43</v>
      </c>
      <c r="E16" s="24"/>
    </row>
    <row r="17" spans="1:6" ht="21" customHeight="1">
      <c r="B17" s="16">
        <v>15</v>
      </c>
      <c r="C17" s="23" t="s">
        <v>44</v>
      </c>
      <c r="D17" s="24">
        <v>55</v>
      </c>
      <c r="E17" s="24"/>
    </row>
    <row r="18" spans="1:6" ht="21" customHeight="1">
      <c r="B18" s="16">
        <v>16</v>
      </c>
      <c r="C18" s="23" t="s">
        <v>45</v>
      </c>
      <c r="D18" s="24">
        <v>76</v>
      </c>
      <c r="E18" s="24"/>
    </row>
    <row r="19" spans="1:6" ht="21" customHeight="1">
      <c r="B19" s="16">
        <v>17</v>
      </c>
      <c r="C19" s="23" t="s">
        <v>46</v>
      </c>
      <c r="D19" s="24">
        <v>54</v>
      </c>
      <c r="E19" s="24"/>
    </row>
    <row r="20" spans="1:6" ht="21" customHeight="1">
      <c r="B20" s="16">
        <v>18</v>
      </c>
      <c r="C20" s="23" t="s">
        <v>47</v>
      </c>
      <c r="D20" s="24">
        <v>52</v>
      </c>
      <c r="E20" s="24"/>
    </row>
    <row r="21" spans="1:6" ht="21" customHeight="1">
      <c r="B21" s="16">
        <v>19</v>
      </c>
      <c r="C21" s="23" t="s">
        <v>48</v>
      </c>
      <c r="D21" s="12">
        <v>55</v>
      </c>
    </row>
    <row r="22" spans="1:6" ht="21" customHeight="1">
      <c r="B22" s="16">
        <v>20</v>
      </c>
      <c r="C22" s="23" t="s">
        <v>49</v>
      </c>
      <c r="D22" s="24">
        <v>47</v>
      </c>
      <c r="E22" s="24"/>
    </row>
    <row r="23" spans="1:6" ht="21" customHeight="1">
      <c r="B23" s="16">
        <v>21</v>
      </c>
      <c r="C23" s="23" t="s">
        <v>11</v>
      </c>
      <c r="D23" s="24">
        <v>50</v>
      </c>
      <c r="E23" s="24"/>
    </row>
    <row r="24" spans="1:6" ht="21" customHeight="1">
      <c r="B24" s="16">
        <v>22</v>
      </c>
      <c r="C24" s="23" t="s">
        <v>50</v>
      </c>
      <c r="D24" s="24">
        <v>53</v>
      </c>
      <c r="E24" s="24"/>
    </row>
    <row r="25" spans="1:6" ht="21" customHeight="1">
      <c r="B25" s="16">
        <v>23</v>
      </c>
      <c r="C25" s="23" t="s">
        <v>51</v>
      </c>
      <c r="D25" s="24">
        <v>61</v>
      </c>
      <c r="E25" s="24"/>
    </row>
    <row r="26" spans="1:6" ht="21" customHeight="1">
      <c r="B26" s="16">
        <v>24</v>
      </c>
      <c r="C26" s="23" t="s">
        <v>52</v>
      </c>
      <c r="D26" s="24">
        <v>52</v>
      </c>
      <c r="E26" s="24"/>
      <c r="F26" s="36" t="s">
        <v>53</v>
      </c>
    </row>
    <row r="27" spans="1:6" ht="21" customHeight="1">
      <c r="B27" s="16">
        <v>25</v>
      </c>
      <c r="C27" s="23" t="s">
        <v>54</v>
      </c>
      <c r="D27" s="24">
        <v>53</v>
      </c>
      <c r="E27" s="24"/>
    </row>
    <row r="28" spans="1:6" ht="21" customHeight="1">
      <c r="B28" s="16">
        <v>26</v>
      </c>
      <c r="C28" s="23" t="s">
        <v>55</v>
      </c>
      <c r="D28" s="12">
        <v>40</v>
      </c>
      <c r="E28" s="12" t="s">
        <v>153</v>
      </c>
      <c r="F28" s="36" t="s">
        <v>56</v>
      </c>
    </row>
    <row r="29" spans="1:6" ht="21" customHeight="1">
      <c r="A29" s="30"/>
      <c r="B29" s="16">
        <v>27</v>
      </c>
      <c r="C29" s="23" t="s">
        <v>57</v>
      </c>
      <c r="D29" s="24">
        <v>58</v>
      </c>
      <c r="E29" s="24"/>
    </row>
    <row r="30" spans="1:6" ht="21" customHeight="1">
      <c r="B30" s="16">
        <v>28</v>
      </c>
      <c r="C30" s="23" t="s">
        <v>58</v>
      </c>
      <c r="D30" s="24">
        <v>58</v>
      </c>
      <c r="E30" s="24"/>
    </row>
    <row r="31" spans="1:6" ht="21" customHeight="1">
      <c r="A31" s="30"/>
      <c r="B31" s="16">
        <v>29</v>
      </c>
      <c r="C31" s="23" t="s">
        <v>59</v>
      </c>
      <c r="D31" s="24">
        <v>52</v>
      </c>
      <c r="E31" s="24"/>
      <c r="F31" s="36" t="s">
        <v>60</v>
      </c>
    </row>
    <row r="32" spans="1:6" ht="21" customHeight="1">
      <c r="A32" s="30"/>
      <c r="B32" s="16">
        <v>30</v>
      </c>
      <c r="C32" s="23" t="s">
        <v>61</v>
      </c>
      <c r="D32" s="24">
        <v>57</v>
      </c>
      <c r="E32" s="24"/>
    </row>
    <row r="33" spans="2:6" ht="21" customHeight="1">
      <c r="B33" s="16">
        <v>31</v>
      </c>
      <c r="C33" s="23" t="s">
        <v>62</v>
      </c>
      <c r="D33" s="24">
        <v>57</v>
      </c>
      <c r="E33" s="24"/>
    </row>
    <row r="34" spans="2:6" ht="21" customHeight="1">
      <c r="B34" s="16">
        <v>32</v>
      </c>
      <c r="C34" s="23" t="s">
        <v>63</v>
      </c>
      <c r="D34" s="24">
        <v>49</v>
      </c>
      <c r="E34" s="24"/>
    </row>
    <row r="35" spans="2:6" ht="21" customHeight="1">
      <c r="B35" s="16">
        <v>33</v>
      </c>
      <c r="C35" s="23" t="s">
        <v>64</v>
      </c>
      <c r="D35" s="24">
        <v>49</v>
      </c>
      <c r="E35" s="24"/>
    </row>
    <row r="36" spans="2:6" ht="21" customHeight="1">
      <c r="B36" s="16">
        <v>34</v>
      </c>
      <c r="C36" s="23" t="s">
        <v>65</v>
      </c>
      <c r="D36" s="24">
        <v>52</v>
      </c>
      <c r="E36" s="24"/>
    </row>
    <row r="37" spans="2:6" ht="21" customHeight="1">
      <c r="B37" s="16">
        <v>35</v>
      </c>
      <c r="C37" s="23" t="s">
        <v>66</v>
      </c>
      <c r="D37" s="24">
        <v>48</v>
      </c>
      <c r="E37" s="24"/>
    </row>
    <row r="38" spans="2:6" ht="21" customHeight="1">
      <c r="B38" s="16">
        <v>36</v>
      </c>
      <c r="C38" s="23" t="s">
        <v>67</v>
      </c>
      <c r="D38" s="24">
        <v>64</v>
      </c>
      <c r="E38" s="24"/>
    </row>
    <row r="39" spans="2:6" ht="21" customHeight="1">
      <c r="B39" s="16">
        <v>37</v>
      </c>
      <c r="C39" s="23" t="s">
        <v>68</v>
      </c>
      <c r="D39" s="24">
        <v>65</v>
      </c>
      <c r="E39" s="24"/>
    </row>
    <row r="40" spans="2:6" ht="21" customHeight="1">
      <c r="B40" s="16">
        <v>38</v>
      </c>
      <c r="C40" s="23" t="s">
        <v>69</v>
      </c>
      <c r="D40" s="24">
        <v>67</v>
      </c>
      <c r="E40" s="24"/>
    </row>
    <row r="41" spans="2:6" ht="21" customHeight="1">
      <c r="B41" s="16">
        <v>39</v>
      </c>
      <c r="C41" s="23" t="s">
        <v>15</v>
      </c>
      <c r="D41" s="24">
        <v>48</v>
      </c>
      <c r="E41" s="24"/>
      <c r="F41" s="36" t="s">
        <v>70</v>
      </c>
    </row>
    <row r="42" spans="2:6" ht="21" customHeight="1">
      <c r="B42" s="16">
        <v>40</v>
      </c>
      <c r="C42" s="23" t="s">
        <v>71</v>
      </c>
      <c r="D42" s="24">
        <v>49</v>
      </c>
      <c r="E42" s="24"/>
    </row>
    <row r="43" spans="2:6" ht="21" customHeight="1">
      <c r="B43" s="16">
        <v>41</v>
      </c>
      <c r="C43" s="23" t="s">
        <v>72</v>
      </c>
      <c r="D43" s="24">
        <v>50</v>
      </c>
      <c r="E43" s="24" t="s">
        <v>150</v>
      </c>
    </row>
    <row r="44" spans="2:6" ht="21" customHeight="1">
      <c r="B44" s="16">
        <v>42</v>
      </c>
      <c r="C44" s="23" t="s">
        <v>73</v>
      </c>
      <c r="D44" s="12">
        <v>49</v>
      </c>
      <c r="F44" s="36" t="s">
        <v>74</v>
      </c>
    </row>
    <row r="45" spans="2:6" ht="21" customHeight="1">
      <c r="B45" s="16">
        <v>43</v>
      </c>
      <c r="C45" s="23" t="s">
        <v>75</v>
      </c>
      <c r="D45" s="24">
        <v>74</v>
      </c>
      <c r="E45" s="24"/>
    </row>
    <row r="46" spans="2:6" ht="21" customHeight="1">
      <c r="B46" s="16">
        <v>44</v>
      </c>
      <c r="C46" s="23" t="s">
        <v>76</v>
      </c>
      <c r="D46" s="12">
        <v>47</v>
      </c>
    </row>
    <row r="47" spans="2:6" ht="21" customHeight="1">
      <c r="B47" s="16">
        <v>45</v>
      </c>
      <c r="C47" s="23" t="s">
        <v>77</v>
      </c>
      <c r="D47" s="24">
        <v>54</v>
      </c>
      <c r="E47" s="24"/>
    </row>
    <row r="48" spans="2:6" ht="21" customHeight="1">
      <c r="B48" s="16">
        <v>46</v>
      </c>
      <c r="C48" s="23" t="s">
        <v>78</v>
      </c>
      <c r="D48" s="24">
        <v>68</v>
      </c>
      <c r="E48" s="24"/>
    </row>
    <row r="49" spans="2:6" ht="21" customHeight="1">
      <c r="B49" s="16">
        <v>47</v>
      </c>
      <c r="C49" s="23" t="s">
        <v>79</v>
      </c>
      <c r="D49" s="24">
        <v>65</v>
      </c>
      <c r="E49" s="24"/>
    </row>
    <row r="50" spans="2:6" ht="21" customHeight="1">
      <c r="B50" s="16">
        <v>48</v>
      </c>
      <c r="C50" s="23" t="s">
        <v>80</v>
      </c>
      <c r="D50" s="24">
        <v>59</v>
      </c>
      <c r="E50" s="24"/>
    </row>
    <row r="51" spans="2:6" ht="21" customHeight="1">
      <c r="B51" s="16">
        <v>49</v>
      </c>
      <c r="C51" s="11" t="s">
        <v>81</v>
      </c>
      <c r="D51" s="24">
        <v>53</v>
      </c>
      <c r="E51" s="24"/>
      <c r="F51" s="36" t="s">
        <v>82</v>
      </c>
    </row>
    <row r="52" spans="2:6" ht="21" customHeight="1">
      <c r="B52" s="16">
        <v>50</v>
      </c>
      <c r="C52" s="23" t="s">
        <v>83</v>
      </c>
      <c r="D52" s="24">
        <v>59</v>
      </c>
      <c r="E52" s="24"/>
    </row>
    <row r="53" spans="2:6" ht="21" customHeight="1">
      <c r="B53" s="16">
        <v>51</v>
      </c>
      <c r="C53" s="23" t="s">
        <v>84</v>
      </c>
      <c r="D53" s="24">
        <v>64</v>
      </c>
      <c r="E53" s="24"/>
    </row>
    <row r="54" spans="2:6" ht="21" customHeight="1">
      <c r="B54" s="16">
        <v>52</v>
      </c>
      <c r="C54" s="23" t="s">
        <v>85</v>
      </c>
      <c r="D54" s="24">
        <v>55</v>
      </c>
      <c r="E54" s="24"/>
    </row>
    <row r="55" spans="2:6" ht="21" customHeight="1">
      <c r="B55" s="16">
        <v>53</v>
      </c>
      <c r="C55" s="23" t="s">
        <v>86</v>
      </c>
      <c r="D55" s="24">
        <v>67</v>
      </c>
      <c r="E55" s="24"/>
    </row>
    <row r="56" spans="2:6" ht="21" customHeight="1">
      <c r="B56" s="16">
        <v>54</v>
      </c>
      <c r="C56" s="23" t="s">
        <v>87</v>
      </c>
      <c r="D56" s="24">
        <v>52</v>
      </c>
      <c r="E56" s="24"/>
    </row>
    <row r="57" spans="2:6" ht="21" customHeight="1">
      <c r="B57" s="16">
        <v>55</v>
      </c>
      <c r="C57" s="23" t="s">
        <v>88</v>
      </c>
      <c r="D57" s="24">
        <v>56</v>
      </c>
      <c r="E57" s="24"/>
    </row>
    <row r="58" spans="2:6" ht="21" customHeight="1">
      <c r="B58" s="16">
        <v>56</v>
      </c>
      <c r="C58" s="23" t="s">
        <v>89</v>
      </c>
      <c r="D58" s="24">
        <v>56</v>
      </c>
      <c r="E58" s="24"/>
    </row>
    <row r="59" spans="2:6" ht="21" customHeight="1">
      <c r="B59" s="16">
        <v>57</v>
      </c>
      <c r="C59" s="23" t="s">
        <v>90</v>
      </c>
      <c r="D59" s="24">
        <v>54</v>
      </c>
      <c r="E59" s="24"/>
    </row>
    <row r="60" spans="2:6" ht="21" customHeight="1">
      <c r="B60" s="16">
        <v>58</v>
      </c>
      <c r="C60" s="23" t="s">
        <v>91</v>
      </c>
      <c r="D60" s="24">
        <v>51</v>
      </c>
      <c r="E60" s="24"/>
    </row>
    <row r="61" spans="2:6" ht="21" customHeight="1">
      <c r="B61" s="16">
        <v>59</v>
      </c>
      <c r="C61" s="23" t="s">
        <v>92</v>
      </c>
      <c r="D61" s="24">
        <v>61</v>
      </c>
      <c r="E61" s="24" t="s">
        <v>150</v>
      </c>
    </row>
    <row r="62" spans="2:6" ht="21" customHeight="1">
      <c r="B62" s="16">
        <v>60</v>
      </c>
      <c r="C62" s="23" t="s">
        <v>93</v>
      </c>
      <c r="D62" s="24">
        <v>69</v>
      </c>
      <c r="E62" s="24"/>
    </row>
    <row r="63" spans="2:6" ht="21" customHeight="1">
      <c r="B63" s="16">
        <v>61</v>
      </c>
      <c r="C63" s="23" t="s">
        <v>94</v>
      </c>
      <c r="D63" s="24">
        <v>75</v>
      </c>
      <c r="E63" s="24"/>
      <c r="F63" s="36" t="s">
        <v>95</v>
      </c>
    </row>
    <row r="64" spans="2:6" ht="21" customHeight="1">
      <c r="B64" s="16">
        <v>62</v>
      </c>
      <c r="C64" s="23" t="s">
        <v>96</v>
      </c>
      <c r="D64" s="24">
        <v>75</v>
      </c>
      <c r="E64" s="24"/>
    </row>
    <row r="65" spans="1:6" ht="21" customHeight="1">
      <c r="A65" s="37"/>
      <c r="B65" s="16">
        <v>63</v>
      </c>
      <c r="C65" s="23" t="s">
        <v>97</v>
      </c>
      <c r="D65" s="24">
        <v>76</v>
      </c>
      <c r="E65" s="24"/>
    </row>
    <row r="66" spans="1:6" ht="21" customHeight="1">
      <c r="A66" s="30"/>
      <c r="B66" s="16">
        <v>64</v>
      </c>
      <c r="C66" s="23" t="s">
        <v>98</v>
      </c>
      <c r="D66" s="24">
        <v>74</v>
      </c>
      <c r="E66" s="24"/>
    </row>
    <row r="67" spans="1:6" ht="21" customHeight="1">
      <c r="A67" s="30"/>
      <c r="B67" s="16">
        <v>65</v>
      </c>
      <c r="C67" s="23" t="s">
        <v>99</v>
      </c>
      <c r="D67" s="24">
        <v>74</v>
      </c>
      <c r="E67" s="24"/>
    </row>
    <row r="68" spans="1:6" ht="21" customHeight="1">
      <c r="B68" s="16">
        <v>66</v>
      </c>
      <c r="C68" s="23" t="s">
        <v>100</v>
      </c>
      <c r="D68" s="24">
        <v>49</v>
      </c>
      <c r="E68" s="24"/>
    </row>
    <row r="69" spans="1:6" ht="21" customHeight="1">
      <c r="B69" s="16">
        <v>67</v>
      </c>
      <c r="C69" s="23" t="s">
        <v>101</v>
      </c>
      <c r="D69" s="24">
        <v>79</v>
      </c>
      <c r="E69" s="24"/>
    </row>
    <row r="70" spans="1:6" ht="21" customHeight="1">
      <c r="A70" s="38"/>
      <c r="B70" s="16">
        <v>68</v>
      </c>
      <c r="C70" s="23" t="s">
        <v>102</v>
      </c>
      <c r="D70" s="24">
        <v>85</v>
      </c>
      <c r="E70" s="24"/>
    </row>
    <row r="71" spans="1:6" ht="21" customHeight="1">
      <c r="A71" s="38"/>
      <c r="B71" s="16">
        <v>69</v>
      </c>
      <c r="C71" s="23" t="s">
        <v>103</v>
      </c>
      <c r="D71" s="24">
        <v>85</v>
      </c>
      <c r="E71" s="24"/>
    </row>
    <row r="72" spans="1:6" ht="21" customHeight="1">
      <c r="B72" s="16">
        <v>70</v>
      </c>
      <c r="C72" s="23" t="s">
        <v>104</v>
      </c>
      <c r="D72" s="24">
        <v>57</v>
      </c>
      <c r="E72" s="24"/>
    </row>
    <row r="73" spans="1:6" ht="21" customHeight="1">
      <c r="B73" s="16">
        <v>71</v>
      </c>
      <c r="C73" s="23" t="s">
        <v>105</v>
      </c>
      <c r="D73" s="24">
        <v>63</v>
      </c>
      <c r="E73" s="24"/>
      <c r="F73" s="36" t="s">
        <v>106</v>
      </c>
    </row>
    <row r="74" spans="1:6" ht="21" customHeight="1">
      <c r="B74" s="16">
        <v>72</v>
      </c>
      <c r="C74" s="23" t="s">
        <v>107</v>
      </c>
      <c r="D74" s="24">
        <v>48</v>
      </c>
      <c r="E74" s="24"/>
      <c r="F74" s="36" t="s">
        <v>108</v>
      </c>
    </row>
    <row r="75" spans="1:6" ht="21" customHeight="1">
      <c r="B75" s="16">
        <v>73</v>
      </c>
      <c r="C75" s="23" t="s">
        <v>109</v>
      </c>
      <c r="D75" s="24">
        <v>51</v>
      </c>
      <c r="E75" s="24"/>
    </row>
    <row r="76" spans="1:6" ht="21" customHeight="1">
      <c r="B76" s="16">
        <v>74</v>
      </c>
      <c r="C76" s="23" t="s">
        <v>110</v>
      </c>
      <c r="D76" s="24">
        <v>55</v>
      </c>
      <c r="E76" s="24"/>
    </row>
    <row r="77" spans="1:6" ht="21" customHeight="1">
      <c r="B77" s="16">
        <v>75</v>
      </c>
      <c r="C77" s="23" t="s">
        <v>111</v>
      </c>
      <c r="D77" s="24">
        <v>57</v>
      </c>
      <c r="E77" s="24"/>
    </row>
    <row r="78" spans="1:6" ht="21" customHeight="1">
      <c r="B78" s="16">
        <v>76</v>
      </c>
      <c r="C78" s="23" t="s">
        <v>112</v>
      </c>
      <c r="D78" s="24">
        <v>61</v>
      </c>
      <c r="E78" s="24"/>
    </row>
    <row r="79" spans="1:6" ht="21" customHeight="1">
      <c r="B79" s="16">
        <v>77</v>
      </c>
      <c r="C79" s="23" t="s">
        <v>113</v>
      </c>
      <c r="D79" s="24">
        <v>54</v>
      </c>
      <c r="E79" s="24"/>
      <c r="F79" s="36" t="s">
        <v>114</v>
      </c>
    </row>
    <row r="80" spans="1:6" ht="21" customHeight="1">
      <c r="B80" s="16">
        <v>78</v>
      </c>
      <c r="C80" s="23" t="s">
        <v>115</v>
      </c>
      <c r="D80" s="24">
        <v>54</v>
      </c>
      <c r="E80" s="24"/>
    </row>
    <row r="81" spans="1:6" ht="21" customHeight="1">
      <c r="B81" s="16">
        <v>79</v>
      </c>
      <c r="C81" s="23" t="s">
        <v>27</v>
      </c>
      <c r="D81" s="24">
        <v>51</v>
      </c>
      <c r="E81" s="24"/>
    </row>
    <row r="82" spans="1:6" ht="21" customHeight="1">
      <c r="A82" s="30"/>
      <c r="B82" s="16">
        <v>80</v>
      </c>
      <c r="C82" s="23" t="s">
        <v>116</v>
      </c>
      <c r="D82" s="24">
        <v>57</v>
      </c>
      <c r="E82" s="24"/>
    </row>
    <row r="83" spans="1:6" ht="21" customHeight="1">
      <c r="A83" s="30"/>
      <c r="B83" s="16">
        <v>81</v>
      </c>
      <c r="C83" s="23" t="s">
        <v>117</v>
      </c>
      <c r="D83" s="24">
        <v>53</v>
      </c>
      <c r="E83" s="24"/>
    </row>
    <row r="84" spans="1:6" ht="21" customHeight="1">
      <c r="B84" s="16">
        <v>82</v>
      </c>
      <c r="C84" s="23" t="s">
        <v>118</v>
      </c>
      <c r="D84" s="24">
        <v>64</v>
      </c>
      <c r="E84" s="24"/>
    </row>
    <row r="85" spans="1:6" ht="21" customHeight="1">
      <c r="A85" s="30"/>
      <c r="B85" s="16">
        <v>83</v>
      </c>
      <c r="C85" s="23" t="s">
        <v>119</v>
      </c>
      <c r="D85" s="24">
        <v>58</v>
      </c>
      <c r="E85" s="24"/>
    </row>
    <row r="86" spans="1:6" ht="21" customHeight="1">
      <c r="B86" s="16">
        <v>84</v>
      </c>
      <c r="C86" s="23" t="s">
        <v>120</v>
      </c>
      <c r="D86" s="24">
        <v>60</v>
      </c>
      <c r="E86" s="24"/>
    </row>
    <row r="87" spans="1:6" ht="21" customHeight="1">
      <c r="B87" s="16">
        <v>85</v>
      </c>
      <c r="C87" s="23" t="s">
        <v>121</v>
      </c>
      <c r="D87" s="24">
        <v>45</v>
      </c>
      <c r="E87" s="24"/>
    </row>
    <row r="88" spans="1:6" ht="21" customHeight="1">
      <c r="B88" s="16">
        <v>86</v>
      </c>
      <c r="C88" s="23" t="s">
        <v>122</v>
      </c>
      <c r="D88" s="24">
        <v>54</v>
      </c>
      <c r="E88" s="24"/>
      <c r="F88" s="36" t="s">
        <v>123</v>
      </c>
    </row>
    <row r="89" spans="1:6" ht="21" customHeight="1">
      <c r="B89" s="16">
        <v>87</v>
      </c>
      <c r="C89" s="23" t="s">
        <v>124</v>
      </c>
      <c r="D89" s="24">
        <v>45</v>
      </c>
      <c r="E89" s="24"/>
    </row>
    <row r="90" spans="1:6" ht="21" customHeight="1">
      <c r="B90" s="16">
        <v>88</v>
      </c>
      <c r="C90" s="23" t="s">
        <v>125</v>
      </c>
      <c r="D90" s="24">
        <v>60</v>
      </c>
      <c r="E90" s="24"/>
    </row>
    <row r="91" spans="1:6" ht="21" customHeight="1">
      <c r="B91" s="16">
        <v>89</v>
      </c>
      <c r="C91" s="23" t="s">
        <v>126</v>
      </c>
      <c r="D91" s="24">
        <v>45</v>
      </c>
      <c r="E91" s="24"/>
    </row>
    <row r="92" spans="1:6" ht="21" customHeight="1">
      <c r="B92" s="16">
        <v>90</v>
      </c>
      <c r="C92" s="34" t="s">
        <v>127</v>
      </c>
      <c r="D92" s="35">
        <v>45</v>
      </c>
      <c r="E92" s="35" t="s">
        <v>150</v>
      </c>
    </row>
    <row r="93" spans="1:6" ht="21" customHeight="1">
      <c r="B93" s="16">
        <v>91</v>
      </c>
      <c r="C93" s="23" t="s">
        <v>128</v>
      </c>
      <c r="D93" s="24">
        <v>60</v>
      </c>
      <c r="E93" s="24"/>
    </row>
    <row r="94" spans="1:6" ht="21" customHeight="1">
      <c r="B94" s="16">
        <v>92</v>
      </c>
      <c r="C94" s="23" t="s">
        <v>129</v>
      </c>
      <c r="D94" s="24">
        <v>60</v>
      </c>
      <c r="E94" s="24"/>
    </row>
    <row r="95" spans="1:6" ht="21" customHeight="1">
      <c r="B95" s="16">
        <v>93</v>
      </c>
      <c r="C95" s="23" t="s">
        <v>130</v>
      </c>
      <c r="D95" s="24">
        <v>60</v>
      </c>
      <c r="E95" s="24"/>
    </row>
    <row r="96" spans="1:6" ht="21" customHeight="1">
      <c r="B96" s="16">
        <v>94</v>
      </c>
      <c r="C96" s="23" t="s">
        <v>131</v>
      </c>
      <c r="D96" s="24">
        <v>47</v>
      </c>
      <c r="E96" s="24"/>
    </row>
    <row r="97" spans="2:6" ht="21" customHeight="1">
      <c r="B97" s="16">
        <v>95</v>
      </c>
      <c r="C97" s="23" t="s">
        <v>132</v>
      </c>
      <c r="D97" s="24">
        <v>55</v>
      </c>
      <c r="E97" s="24"/>
    </row>
    <row r="98" spans="2:6" ht="21" customHeight="1">
      <c r="B98" s="16">
        <v>96</v>
      </c>
      <c r="C98" s="39" t="s">
        <v>133</v>
      </c>
      <c r="D98" s="24">
        <v>53</v>
      </c>
      <c r="E98" s="24"/>
    </row>
    <row r="99" spans="2:6" ht="21" customHeight="1">
      <c r="B99" s="16">
        <v>97</v>
      </c>
      <c r="C99" s="40" t="s">
        <v>134</v>
      </c>
      <c r="D99" s="24">
        <v>46</v>
      </c>
      <c r="E99" s="24"/>
    </row>
    <row r="100" spans="2:6" ht="21" customHeight="1">
      <c r="B100" s="16">
        <v>107</v>
      </c>
      <c r="C100" s="23" t="s">
        <v>135</v>
      </c>
      <c r="D100" s="12">
        <f>D46</f>
        <v>47</v>
      </c>
      <c r="F100" s="36" t="s">
        <v>86</v>
      </c>
    </row>
    <row r="101" spans="2:6" ht="21" customHeight="1">
      <c r="B101" s="16">
        <v>106</v>
      </c>
      <c r="C101" s="23" t="s">
        <v>136</v>
      </c>
      <c r="D101" s="12">
        <f>D51</f>
        <v>53</v>
      </c>
      <c r="F101" s="36" t="s">
        <v>137</v>
      </c>
    </row>
    <row r="102" spans="2:6" ht="21" customHeight="1">
      <c r="B102" s="16">
        <v>98</v>
      </c>
      <c r="C102" s="23" t="s">
        <v>138</v>
      </c>
      <c r="D102" s="24">
        <v>54</v>
      </c>
      <c r="E102" s="24"/>
    </row>
    <row r="103" spans="2:6" ht="21" customHeight="1">
      <c r="B103" s="16">
        <v>99</v>
      </c>
      <c r="C103" s="23" t="s">
        <v>139</v>
      </c>
      <c r="D103" s="24">
        <v>59</v>
      </c>
      <c r="E103" s="24"/>
      <c r="F103" s="36" t="s">
        <v>140</v>
      </c>
    </row>
    <row r="104" spans="2:6" ht="21" customHeight="1">
      <c r="B104" s="16">
        <v>100</v>
      </c>
      <c r="C104" s="23" t="s">
        <v>141</v>
      </c>
      <c r="D104" s="24">
        <v>81</v>
      </c>
      <c r="E104" s="24"/>
    </row>
    <row r="105" spans="2:6" ht="21" customHeight="1">
      <c r="B105" s="16">
        <v>101</v>
      </c>
      <c r="C105" s="23" t="s">
        <v>142</v>
      </c>
      <c r="D105" s="24">
        <v>56</v>
      </c>
      <c r="E105" s="24"/>
    </row>
    <row r="106" spans="2:6" ht="21" customHeight="1">
      <c r="B106" s="16">
        <v>102</v>
      </c>
      <c r="C106" s="23" t="s">
        <v>143</v>
      </c>
      <c r="D106" s="24">
        <v>50</v>
      </c>
      <c r="E106" s="24" t="s">
        <v>152</v>
      </c>
    </row>
    <row r="107" spans="2:6" ht="21" customHeight="1">
      <c r="B107" s="16">
        <v>103</v>
      </c>
      <c r="C107" s="23" t="s">
        <v>144</v>
      </c>
      <c r="D107" s="24">
        <v>60</v>
      </c>
      <c r="E107" s="24"/>
    </row>
    <row r="108" spans="2:6" ht="21" customHeight="1">
      <c r="B108" s="41">
        <v>104</v>
      </c>
      <c r="C108" s="23" t="s">
        <v>145</v>
      </c>
      <c r="D108" s="24">
        <v>56</v>
      </c>
      <c r="E108" s="24"/>
    </row>
    <row r="109" spans="2:6" ht="21" customHeight="1">
      <c r="B109" s="41">
        <v>105</v>
      </c>
      <c r="C109" s="23" t="s">
        <v>146</v>
      </c>
      <c r="D109" s="24">
        <v>53</v>
      </c>
      <c r="E109" s="24"/>
    </row>
    <row r="110" spans="2:6" ht="21" customHeight="1">
      <c r="B110" s="41">
        <v>108</v>
      </c>
      <c r="C110" s="23" t="s">
        <v>147</v>
      </c>
      <c r="D110" s="12">
        <v>50</v>
      </c>
      <c r="F110" s="36" t="s">
        <v>148</v>
      </c>
    </row>
    <row r="111" spans="2:6" ht="21" customHeight="1">
      <c r="B111" s="41">
        <v>109</v>
      </c>
    </row>
    <row r="112" spans="2:6" ht="21" customHeight="1">
      <c r="B112" s="41">
        <v>110</v>
      </c>
    </row>
    <row r="113" spans="2:2" ht="21" customHeight="1">
      <c r="B113" s="41">
        <v>111</v>
      </c>
    </row>
    <row r="114" spans="2:2" ht="21" customHeight="1">
      <c r="B114" s="41">
        <v>112</v>
      </c>
    </row>
    <row r="115" spans="2:2" ht="21" customHeight="1">
      <c r="B115" s="41">
        <v>113</v>
      </c>
    </row>
    <row r="116" spans="2:2" ht="21" customHeight="1">
      <c r="B116" s="41">
        <v>114</v>
      </c>
    </row>
    <row r="117" spans="2:2" ht="21" customHeight="1">
      <c r="B117" s="41">
        <v>115</v>
      </c>
    </row>
    <row r="118" spans="2:2" ht="21" customHeight="1">
      <c r="B118" s="41">
        <v>116</v>
      </c>
    </row>
    <row r="119" spans="2:2" ht="21" customHeight="1">
      <c r="B119" s="41">
        <v>117</v>
      </c>
    </row>
    <row r="120" spans="2:2" ht="21" customHeight="1">
      <c r="B120" s="41">
        <v>118</v>
      </c>
    </row>
    <row r="121" spans="2:2" ht="21" customHeight="1">
      <c r="B121" s="41">
        <v>119</v>
      </c>
    </row>
    <row r="122" spans="2:2" ht="21" customHeight="1">
      <c r="B122" s="41">
        <v>120</v>
      </c>
    </row>
    <row r="123" spans="2:2" ht="21" customHeight="1">
      <c r="B123" s="41">
        <v>121</v>
      </c>
    </row>
    <row r="124" spans="2:2" ht="21" customHeight="1">
      <c r="B124" s="41">
        <v>122</v>
      </c>
    </row>
    <row r="125" spans="2:2" ht="21" customHeight="1">
      <c r="B125" s="41">
        <v>123</v>
      </c>
    </row>
    <row r="126" spans="2:2" ht="21" customHeight="1">
      <c r="B126" s="41">
        <v>124</v>
      </c>
    </row>
    <row r="127" spans="2:2" ht="21" customHeight="1">
      <c r="B127" s="41">
        <v>125</v>
      </c>
    </row>
    <row r="128" spans="2:2" ht="21" customHeight="1">
      <c r="B128" s="41">
        <v>126</v>
      </c>
    </row>
    <row r="129" spans="2:2" ht="21" customHeight="1">
      <c r="B129" s="41">
        <v>127</v>
      </c>
    </row>
    <row r="130" spans="2:2" ht="21" customHeight="1">
      <c r="B130" s="41">
        <v>128</v>
      </c>
    </row>
    <row r="131" spans="2:2" ht="21" customHeight="1">
      <c r="B131" s="41">
        <v>129</v>
      </c>
    </row>
    <row r="132" spans="2:2" ht="21" customHeight="1">
      <c r="B132" s="41">
        <v>130</v>
      </c>
    </row>
    <row r="133" spans="2:2" ht="21" customHeight="1">
      <c r="B133" s="41">
        <v>131</v>
      </c>
    </row>
    <row r="134" spans="2:2" ht="21" customHeight="1">
      <c r="B134" s="41">
        <v>132</v>
      </c>
    </row>
    <row r="135" spans="2:2" ht="21" customHeight="1">
      <c r="B135" s="41">
        <v>133</v>
      </c>
    </row>
    <row r="136" spans="2:2" ht="21" customHeight="1">
      <c r="B136" s="41">
        <v>134</v>
      </c>
    </row>
    <row r="137" spans="2:2" ht="21" customHeight="1">
      <c r="B137" s="41">
        <v>135</v>
      </c>
    </row>
    <row r="138" spans="2:2" ht="21" customHeight="1">
      <c r="B138" s="41">
        <v>136</v>
      </c>
    </row>
    <row r="139" spans="2:2" ht="21" customHeight="1">
      <c r="B139" s="41">
        <v>137</v>
      </c>
    </row>
    <row r="140" spans="2:2" ht="21" customHeight="1">
      <c r="B140" s="41">
        <v>138</v>
      </c>
    </row>
    <row r="141" spans="2:2" ht="21" customHeight="1">
      <c r="B141" s="41">
        <v>139</v>
      </c>
    </row>
    <row r="142" spans="2:2" ht="21" customHeight="1">
      <c r="B142" s="41">
        <v>140</v>
      </c>
    </row>
    <row r="143" spans="2:2" ht="21" customHeight="1">
      <c r="B143" s="41">
        <v>141</v>
      </c>
    </row>
    <row r="144" spans="2:2" ht="21" customHeight="1">
      <c r="B144" s="41">
        <v>142</v>
      </c>
    </row>
    <row r="145" spans="2:2" ht="21" customHeight="1">
      <c r="B145" s="41">
        <v>143</v>
      </c>
    </row>
    <row r="146" spans="2:2" ht="21" customHeight="1">
      <c r="B146" s="41">
        <v>144</v>
      </c>
    </row>
    <row r="147" spans="2:2" ht="21" customHeight="1">
      <c r="B147" s="41">
        <v>145</v>
      </c>
    </row>
    <row r="148" spans="2:2" ht="21" customHeight="1">
      <c r="B148" s="41">
        <v>146</v>
      </c>
    </row>
    <row r="149" spans="2:2" ht="21" customHeight="1">
      <c r="B149" s="41">
        <v>147</v>
      </c>
    </row>
    <row r="150" spans="2:2" ht="21" customHeight="1">
      <c r="B150" s="41">
        <v>148</v>
      </c>
    </row>
    <row r="151" spans="2:2" ht="21" customHeight="1">
      <c r="B151" s="41">
        <v>149</v>
      </c>
    </row>
    <row r="152" spans="2:2" ht="21" customHeight="1">
      <c r="B152" s="41">
        <v>150</v>
      </c>
    </row>
    <row r="153" spans="2:2" ht="21" customHeight="1"/>
    <row r="154" spans="2:2" ht="21" customHeight="1"/>
    <row r="155" spans="2:2" ht="21" customHeight="1"/>
    <row r="156" spans="2:2" ht="21" customHeight="1"/>
    <row r="157" spans="2:2" ht="21" customHeight="1"/>
    <row r="158" spans="2:2" ht="21" customHeight="1"/>
    <row r="159" spans="2:2" ht="21" customHeight="1"/>
    <row r="160" spans="2:2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</sheetData>
  <autoFilter ref="B2:F107">
    <sortState ref="B3:J152">
      <sortCondition ref="C2:C107"/>
    </sortState>
  </autoFilter>
  <mergeCells count="1">
    <mergeCell ref="K10:L10"/>
  </mergeCells>
  <phoneticPr fontId="4" type="noConversion"/>
  <conditionalFormatting sqref="C2:E1048576">
    <cfRule type="notContainsBlanks" dxfId="10" priority="10">
      <formula>LEN(TRIM(C2))&gt;0</formula>
    </cfRule>
  </conditionalFormatting>
  <conditionalFormatting sqref="D1:E1">
    <cfRule type="notContainsBlanks" dxfId="9" priority="11">
      <formula>LEN(TRIM(D1))&gt;0</formula>
    </cfRule>
  </conditionalFormatting>
  <conditionalFormatting sqref="I1 H2:I3 I4:I7">
    <cfRule type="notContainsBlanks" dxfId="8" priority="9">
      <formula>LEN(TRIM(H1))&gt;0</formula>
    </cfRule>
  </conditionalFormatting>
  <pageMargins left="0.7" right="0.7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Data Sheet</vt:lpstr>
      <vt:lpstr>'Data Sheet'!Print_Area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Moon (문병국)</dc:creator>
  <cp:lastModifiedBy>Gabriel Moon (문병국)</cp:lastModifiedBy>
  <dcterms:created xsi:type="dcterms:W3CDTF">2026-06-16T02:22:46Z</dcterms:created>
  <dcterms:modified xsi:type="dcterms:W3CDTF">2026-06-18T00:22:14Z</dcterms:modified>
</cp:coreProperties>
</file>